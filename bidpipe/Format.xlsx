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" sheetId="1" state="visible" r:id="rId1"/>
    <sheet name="규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color rgb="000000FF"/>
      <sz val="10"/>
    </font>
    <font>
      <name val="맑은 고딕"/>
      <i val="1"/>
      <color rgb="00808080"/>
      <sz val="9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2F5597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indent="1"/>
    </xf>
    <xf numFmtId="0" fontId="0" fillId="2" borderId="1" pivotButton="0" quotePrefix="0" xfId="0"/>
    <xf numFmtId="0" fontId="3" fillId="3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4" fillId="4" borderId="1" applyAlignment="1" pivotButton="0" quotePrefix="0" xfId="0">
      <alignment vertical="center"/>
    </xf>
    <xf numFmtId="0" fontId="0" fillId="4" borderId="1" pivotButton="0" quotePrefix="0" xfId="0"/>
    <xf numFmtId="3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3" fontId="7" fillId="5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맑은 고딕"/>
        <b val="1"/>
        <color rgb="00006100"/>
        <sz val="10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16" customWidth="1" min="4" max="4"/>
    <col width="28" customWidth="1" min="5" max="5"/>
    <col width="13" customWidth="1" min="6" max="6"/>
    <col width="10" customWidth="1" min="7" max="7"/>
    <col width="14" customWidth="1" min="8" max="8"/>
    <col width="22" customWidth="1" min="9" max="9"/>
  </cols>
  <sheetData>
    <row r="1" ht="28" customHeight="1">
      <c r="A1" s="1" t="inlineStr">
        <is>
          <t>입찰 공고 마진 분석</t>
        </is>
      </c>
    </row>
    <row r="3" ht="20" customHeight="1">
      <c r="A3" s="2" t="inlineStr">
        <is>
          <t>1. 공고 정보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공고명</t>
        </is>
      </c>
      <c r="B4" s="5" t="n"/>
      <c r="C4" s="6" t="n"/>
      <c r="D4" s="6" t="n"/>
      <c r="E4" s="6" t="n"/>
      <c r="F4" s="6" t="n"/>
      <c r="G4" s="6" t="n"/>
      <c r="H4" s="6" t="n"/>
      <c r="I4" s="6" t="n"/>
    </row>
    <row r="5">
      <c r="A5" s="4" t="inlineStr">
        <is>
          <t>공고번호</t>
        </is>
      </c>
      <c r="B5" s="5" t="n"/>
      <c r="C5" s="6" t="n"/>
      <c r="D5" s="6" t="n"/>
      <c r="E5" s="4" t="inlineStr">
        <is>
          <t>수요기관</t>
        </is>
      </c>
      <c r="F5" s="5" t="n"/>
      <c r="G5" s="6" t="n"/>
      <c r="H5" s="6" t="n"/>
      <c r="I5" s="6" t="n"/>
    </row>
    <row r="6">
      <c r="A6" s="4" t="inlineStr">
        <is>
          <t>공고일</t>
        </is>
      </c>
      <c r="B6" s="5" t="n"/>
      <c r="C6" s="6" t="n"/>
      <c r="D6" s="6" t="n"/>
      <c r="E6" s="4" t="inlineStr">
        <is>
          <t>입찰마감일시</t>
        </is>
      </c>
      <c r="F6" s="5" t="n"/>
      <c r="G6" s="6" t="n"/>
      <c r="H6" s="6" t="n"/>
      <c r="I6" s="6" t="n"/>
    </row>
    <row r="7">
      <c r="A7" s="4" t="inlineStr">
        <is>
          <t>개찰일시</t>
        </is>
      </c>
      <c r="B7" s="5" t="n"/>
      <c r="C7" s="6" t="n"/>
      <c r="D7" s="6" t="n"/>
      <c r="E7" s="4" t="inlineStr">
        <is>
          <t>납품기한</t>
        </is>
      </c>
      <c r="F7" s="5" t="n"/>
      <c r="G7" s="6" t="n"/>
      <c r="H7" s="6" t="n"/>
      <c r="I7" s="6" t="n"/>
    </row>
    <row r="8">
      <c r="A8" s="4" t="inlineStr">
        <is>
          <t>계약방법</t>
        </is>
      </c>
      <c r="B8" s="5" t="n"/>
      <c r="C8" s="6" t="n"/>
      <c r="D8" s="6" t="n"/>
      <c r="E8" s="4" t="inlineStr">
        <is>
          <t>낙찰방법</t>
        </is>
      </c>
      <c r="F8" s="5" t="n"/>
      <c r="G8" s="6" t="n"/>
      <c r="H8" s="6" t="n"/>
      <c r="I8" s="6" t="n"/>
    </row>
    <row r="9">
      <c r="A9" s="4" t="inlineStr">
        <is>
          <t>참가자격/제한</t>
        </is>
      </c>
      <c r="B9" s="7" t="n"/>
      <c r="C9" s="6" t="n"/>
      <c r="D9" s="6" t="n"/>
      <c r="E9" s="6" t="n"/>
      <c r="F9" s="6" t="n"/>
      <c r="G9" s="6" t="n"/>
      <c r="H9" s="6" t="n"/>
      <c r="I9" s="6" t="n"/>
    </row>
    <row r="10">
      <c r="A10" s="4" t="inlineStr">
        <is>
          <t>납품장소</t>
        </is>
      </c>
      <c r="B10" s="5" t="n"/>
      <c r="C10" s="6" t="n"/>
      <c r="D10" s="6" t="n"/>
      <c r="E10" s="4" t="inlineStr">
        <is>
          <t>공고 URL</t>
        </is>
      </c>
      <c r="F10" s="5" t="n"/>
      <c r="G10" s="6" t="n"/>
      <c r="H10" s="6" t="n"/>
      <c r="I10" s="6" t="n"/>
    </row>
    <row r="12" ht="20" customHeight="1">
      <c r="A12" s="2" t="inlineStr">
        <is>
          <t>2. 금액 정보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4" t="inlineStr">
        <is>
          <t>추정가격(원)</t>
        </is>
      </c>
      <c r="B13" s="8" t="n"/>
      <c r="C13" s="6" t="n"/>
      <c r="E13" s="9" t="inlineStr">
        <is>
          <t>부가세 제외 금액 (공고 기재값)</t>
        </is>
      </c>
    </row>
    <row r="14">
      <c r="A14" s="4" t="inlineStr">
        <is>
          <t>기초금액(원)</t>
        </is>
      </c>
      <c r="B14" s="8" t="n"/>
      <c r="C14" s="6" t="n"/>
      <c r="E14" s="9" t="inlineStr">
        <is>
          <t>미공개 시 예산금액 또는 추정가격×1.1 입력 후 비고 표시</t>
        </is>
      </c>
    </row>
    <row r="15">
      <c r="A15" s="4" t="inlineStr">
        <is>
          <t>이율(투찰율)</t>
        </is>
      </c>
      <c r="B15" s="10" t="n">
        <v>0.96</v>
      </c>
      <c r="C15" s="11" t="n"/>
      <c r="E15" s="9" t="inlineStr">
        <is>
          <t>기본 0.96 / 공고의 낙찰하한율·적격심사 기준 확인 후 조정</t>
        </is>
      </c>
    </row>
    <row r="16">
      <c r="A16" s="4" t="inlineStr">
        <is>
          <t>투찰가(예상, 원)</t>
        </is>
      </c>
      <c r="B16" s="12">
        <f>ROUND(B14*B15,0)</f>
        <v/>
      </c>
      <c r="C16" s="6" t="n"/>
      <c r="E16" s="9">
        <f> 기초금액 × 이율 (자동 계산)</f>
        <v/>
      </c>
    </row>
    <row r="18" ht="20" customHeight="1">
      <c r="A18" s="2" t="inlineStr">
        <is>
          <t>3. 개요 (필요 물품·수량·핵심 사양·특이조건 요약)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3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4" ht="20" customHeight="1">
      <c r="A24" s="2" t="inlineStr">
        <is>
          <t>4. 물품 내역  (물품별 후보 1~3개 조사, 실제 구매할 후보만 선택=O)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18" customHeight="1">
      <c r="A25" s="14" t="inlineStr">
        <is>
          <t>품명</t>
        </is>
      </c>
      <c r="B25" s="14" t="inlineStr">
        <is>
          <t>요구 사양</t>
        </is>
      </c>
      <c r="C25" s="14" t="inlineStr">
        <is>
          <t>수량</t>
        </is>
      </c>
      <c r="D25" s="14" t="inlineStr">
        <is>
          <t>판매처</t>
        </is>
      </c>
      <c r="E25" s="14" t="inlineStr">
        <is>
          <t>URL</t>
        </is>
      </c>
      <c r="F25" s="14" t="inlineStr">
        <is>
          <t>단가(원)</t>
        </is>
      </c>
      <c r="G25" s="14" t="inlineStr">
        <is>
          <t>선택(O/X)</t>
        </is>
      </c>
      <c r="H25" s="14" t="inlineStr">
        <is>
          <t>선택금액(원)</t>
        </is>
      </c>
      <c r="I25" s="14" t="inlineStr">
        <is>
          <t>비고</t>
        </is>
      </c>
    </row>
    <row r="26">
      <c r="A26" s="5" t="n"/>
      <c r="B26" s="7" t="n"/>
      <c r="C26" s="15" t="n"/>
      <c r="D26" s="5" t="n"/>
      <c r="E26" s="5" t="n"/>
      <c r="F26" s="15" t="n"/>
      <c r="G26" s="16" t="n"/>
      <c r="H26" s="12">
        <f>IF($G26="O",$C26*$F26,0)</f>
        <v/>
      </c>
      <c r="I26" s="7" t="n"/>
    </row>
    <row r="27">
      <c r="A27" s="5" t="n"/>
      <c r="B27" s="7" t="n"/>
      <c r="C27" s="15" t="n"/>
      <c r="D27" s="5" t="n"/>
      <c r="E27" s="5" t="n"/>
      <c r="F27" s="15" t="n"/>
      <c r="G27" s="16" t="n"/>
      <c r="H27" s="12">
        <f>IF($G27="O",$C27*$F27,0)</f>
        <v/>
      </c>
      <c r="I27" s="7" t="n"/>
    </row>
    <row r="28">
      <c r="A28" s="5" t="n"/>
      <c r="B28" s="7" t="n"/>
      <c r="C28" s="15" t="n"/>
      <c r="D28" s="5" t="n"/>
      <c r="E28" s="5" t="n"/>
      <c r="F28" s="15" t="n"/>
      <c r="G28" s="16" t="n"/>
      <c r="H28" s="12">
        <f>IF($G28="O",$C28*$F28,0)</f>
        <v/>
      </c>
      <c r="I28" s="7" t="n"/>
    </row>
    <row r="29">
      <c r="A29" s="5" t="n"/>
      <c r="B29" s="7" t="n"/>
      <c r="C29" s="15" t="n"/>
      <c r="D29" s="5" t="n"/>
      <c r="E29" s="5" t="n"/>
      <c r="F29" s="15" t="n"/>
      <c r="G29" s="16" t="n"/>
      <c r="H29" s="12">
        <f>IF($G29="O",$C29*$F29,0)</f>
        <v/>
      </c>
      <c r="I29" s="7" t="n"/>
    </row>
    <row r="30">
      <c r="A30" s="5" t="n"/>
      <c r="B30" s="7" t="n"/>
      <c r="C30" s="15" t="n"/>
      <c r="D30" s="5" t="n"/>
      <c r="E30" s="5" t="n"/>
      <c r="F30" s="15" t="n"/>
      <c r="G30" s="16" t="n"/>
      <c r="H30" s="12">
        <f>IF($G30="O",$C30*$F30,0)</f>
        <v/>
      </c>
      <c r="I30" s="7" t="n"/>
    </row>
    <row r="31">
      <c r="A31" s="5" t="n"/>
      <c r="B31" s="7" t="n"/>
      <c r="C31" s="15" t="n"/>
      <c r="D31" s="5" t="n"/>
      <c r="E31" s="5" t="n"/>
      <c r="F31" s="15" t="n"/>
      <c r="G31" s="16" t="n"/>
      <c r="H31" s="12">
        <f>IF($G31="O",$C31*$F31,0)</f>
        <v/>
      </c>
      <c r="I31" s="7" t="n"/>
    </row>
    <row r="32">
      <c r="A32" s="5" t="n"/>
      <c r="B32" s="7" t="n"/>
      <c r="C32" s="15" t="n"/>
      <c r="D32" s="5" t="n"/>
      <c r="E32" s="5" t="n"/>
      <c r="F32" s="15" t="n"/>
      <c r="G32" s="16" t="n"/>
      <c r="H32" s="12">
        <f>IF($G32="O",$C32*$F32,0)</f>
        <v/>
      </c>
      <c r="I32" s="7" t="n"/>
    </row>
    <row r="33">
      <c r="A33" s="5" t="n"/>
      <c r="B33" s="7" t="n"/>
      <c r="C33" s="15" t="n"/>
      <c r="D33" s="5" t="n"/>
      <c r="E33" s="5" t="n"/>
      <c r="F33" s="15" t="n"/>
      <c r="G33" s="16" t="n"/>
      <c r="H33" s="12">
        <f>IF($G33="O",$C33*$F33,0)</f>
        <v/>
      </c>
      <c r="I33" s="7" t="n"/>
    </row>
    <row r="34">
      <c r="A34" s="5" t="n"/>
      <c r="B34" s="7" t="n"/>
      <c r="C34" s="15" t="n"/>
      <c r="D34" s="5" t="n"/>
      <c r="E34" s="5" t="n"/>
      <c r="F34" s="15" t="n"/>
      <c r="G34" s="16" t="n"/>
      <c r="H34" s="12">
        <f>IF($G34="O",$C34*$F34,0)</f>
        <v/>
      </c>
      <c r="I34" s="7" t="n"/>
    </row>
    <row r="35">
      <c r="A35" s="5" t="n"/>
      <c r="B35" s="7" t="n"/>
      <c r="C35" s="15" t="n"/>
      <c r="D35" s="5" t="n"/>
      <c r="E35" s="5" t="n"/>
      <c r="F35" s="15" t="n"/>
      <c r="G35" s="16" t="n"/>
      <c r="H35" s="12">
        <f>IF($G35="O",$C35*$F35,0)</f>
        <v/>
      </c>
      <c r="I35" s="7" t="n"/>
    </row>
    <row r="36">
      <c r="A36" s="5" t="n"/>
      <c r="B36" s="7" t="n"/>
      <c r="C36" s="15" t="n"/>
      <c r="D36" s="5" t="n"/>
      <c r="E36" s="5" t="n"/>
      <c r="F36" s="15" t="n"/>
      <c r="G36" s="16" t="n"/>
      <c r="H36" s="12">
        <f>IF($G36="O",$C36*$F36,0)</f>
        <v/>
      </c>
      <c r="I36" s="7" t="n"/>
    </row>
    <row r="37">
      <c r="A37" s="5" t="n"/>
      <c r="B37" s="7" t="n"/>
      <c r="C37" s="15" t="n"/>
      <c r="D37" s="5" t="n"/>
      <c r="E37" s="5" t="n"/>
      <c r="F37" s="15" t="n"/>
      <c r="G37" s="16" t="n"/>
      <c r="H37" s="12">
        <f>IF($G37="O",$C37*$F37,0)</f>
        <v/>
      </c>
      <c r="I37" s="7" t="n"/>
    </row>
    <row r="38">
      <c r="A38" s="5" t="n"/>
      <c r="B38" s="7" t="n"/>
      <c r="C38" s="15" t="n"/>
      <c r="D38" s="5" t="n"/>
      <c r="E38" s="5" t="n"/>
      <c r="F38" s="15" t="n"/>
      <c r="G38" s="16" t="n"/>
      <c r="H38" s="12">
        <f>IF($G38="O",$C38*$F38,0)</f>
        <v/>
      </c>
      <c r="I38" s="7" t="n"/>
    </row>
    <row r="39">
      <c r="A39" s="5" t="n"/>
      <c r="B39" s="7" t="n"/>
      <c r="C39" s="15" t="n"/>
      <c r="D39" s="5" t="n"/>
      <c r="E39" s="5" t="n"/>
      <c r="F39" s="15" t="n"/>
      <c r="G39" s="16" t="n"/>
      <c r="H39" s="12">
        <f>IF($G39="O",$C39*$F39,0)</f>
        <v/>
      </c>
      <c r="I39" s="7" t="n"/>
    </row>
    <row r="40">
      <c r="A40" s="5" t="n"/>
      <c r="B40" s="7" t="n"/>
      <c r="C40" s="15" t="n"/>
      <c r="D40" s="5" t="n"/>
      <c r="E40" s="5" t="n"/>
      <c r="F40" s="15" t="n"/>
      <c r="G40" s="16" t="n"/>
      <c r="H40" s="12">
        <f>IF($G40="O",$C40*$F40,0)</f>
        <v/>
      </c>
      <c r="I40" s="7" t="n"/>
    </row>
    <row r="41">
      <c r="A41" s="5" t="n"/>
      <c r="B41" s="7" t="n"/>
      <c r="C41" s="15" t="n"/>
      <c r="D41" s="5" t="n"/>
      <c r="E41" s="5" t="n"/>
      <c r="F41" s="15" t="n"/>
      <c r="G41" s="16" t="n"/>
      <c r="H41" s="12">
        <f>IF($G41="O",$C41*$F41,0)</f>
        <v/>
      </c>
      <c r="I41" s="7" t="n"/>
    </row>
    <row r="42">
      <c r="A42" s="5" t="n"/>
      <c r="B42" s="7" t="n"/>
      <c r="C42" s="15" t="n"/>
      <c r="D42" s="5" t="n"/>
      <c r="E42" s="5" t="n"/>
      <c r="F42" s="15" t="n"/>
      <c r="G42" s="16" t="n"/>
      <c r="H42" s="12">
        <f>IF($G42="O",$C42*$F42,0)</f>
        <v/>
      </c>
      <c r="I42" s="7" t="n"/>
    </row>
    <row r="43">
      <c r="A43" s="5" t="n"/>
      <c r="B43" s="7" t="n"/>
      <c r="C43" s="15" t="n"/>
      <c r="D43" s="5" t="n"/>
      <c r="E43" s="5" t="n"/>
      <c r="F43" s="15" t="n"/>
      <c r="G43" s="16" t="n"/>
      <c r="H43" s="12">
        <f>IF($G43="O",$C43*$F43,0)</f>
        <v/>
      </c>
      <c r="I43" s="7" t="n"/>
    </row>
    <row r="44">
      <c r="A44" s="5" t="n"/>
      <c r="B44" s="7" t="n"/>
      <c r="C44" s="15" t="n"/>
      <c r="D44" s="5" t="n"/>
      <c r="E44" s="5" t="n"/>
      <c r="F44" s="15" t="n"/>
      <c r="G44" s="16" t="n"/>
      <c r="H44" s="12">
        <f>IF($G44="O",$C44*$F44,0)</f>
        <v/>
      </c>
      <c r="I44" s="7" t="n"/>
    </row>
    <row r="45">
      <c r="A45" s="5" t="n"/>
      <c r="B45" s="7" t="n"/>
      <c r="C45" s="15" t="n"/>
      <c r="D45" s="5" t="n"/>
      <c r="E45" s="5" t="n"/>
      <c r="F45" s="15" t="n"/>
      <c r="G45" s="16" t="n"/>
      <c r="H45" s="12">
        <f>IF($G45="O",$C45*$F45,0)</f>
        <v/>
      </c>
      <c r="I45" s="7" t="n"/>
    </row>
    <row r="46">
      <c r="A46" s="17" t="inlineStr">
        <is>
          <t>상품가격 합계</t>
        </is>
      </c>
      <c r="B46" s="18" t="n"/>
      <c r="C46" s="18" t="n"/>
      <c r="D46" s="18" t="n"/>
      <c r="E46" s="18" t="n"/>
      <c r="F46" s="18" t="n"/>
      <c r="G46" s="18" t="n"/>
      <c r="H46" s="19">
        <f>SUM(H26:H45)</f>
        <v/>
      </c>
      <c r="I46" s="18" t="n"/>
    </row>
    <row r="48" ht="20" customHeight="1">
      <c r="A48" s="2" t="inlineStr">
        <is>
          <t>5. 수익성 분석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4" t="inlineStr">
        <is>
          <t>상품가격 합(원)</t>
        </is>
      </c>
      <c r="B49" s="12">
        <f>H46</f>
        <v/>
      </c>
      <c r="C49" s="6" t="n"/>
    </row>
    <row r="50">
      <c r="A50" s="4" t="inlineStr">
        <is>
          <t>부대비용(원)</t>
        </is>
      </c>
      <c r="B50" s="8" t="n">
        <v>0</v>
      </c>
      <c r="C50" s="6" t="n"/>
      <c r="E50" s="9" t="inlineStr">
        <is>
          <t>배송·설치·출장·인건비 등 추가 비용</t>
        </is>
      </c>
    </row>
    <row r="51">
      <c r="A51" s="4" t="inlineStr">
        <is>
          <t>총 원가(원)</t>
        </is>
      </c>
      <c r="B51" s="12">
        <f>B49+B50</f>
        <v/>
      </c>
      <c r="C51" s="6" t="n"/>
    </row>
    <row r="52">
      <c r="A52" s="4" t="inlineStr">
        <is>
          <t>투찰가(예상, 원)</t>
        </is>
      </c>
      <c r="B52" s="12">
        <f>B16</f>
        <v/>
      </c>
      <c r="C52" s="6" t="n"/>
    </row>
    <row r="53">
      <c r="A53" s="4" t="inlineStr">
        <is>
          <t>마진(원)</t>
        </is>
      </c>
      <c r="B53" s="20">
        <f>B52-B51</f>
        <v/>
      </c>
      <c r="C53" s="6" t="n"/>
    </row>
    <row r="54">
      <c r="A54" s="4" t="inlineStr">
        <is>
          <t>마진율</t>
        </is>
      </c>
      <c r="B54" s="21">
        <f>IF(B52=0,0,B53/B52)</f>
        <v/>
      </c>
      <c r="C54" s="6" t="n"/>
    </row>
    <row r="55">
      <c r="A55" s="4" t="inlineStr">
        <is>
          <t>기준 마진율</t>
        </is>
      </c>
      <c r="B55" s="22" t="n">
        <v>0.1</v>
      </c>
      <c r="C55" s="11" t="n"/>
      <c r="E55" s="9" t="inlineStr">
        <is>
          <t>기본 10% / 상황에 따라 조정</t>
        </is>
      </c>
    </row>
    <row r="56">
      <c r="A56" s="4" t="inlineStr">
        <is>
          <t>판정</t>
        </is>
      </c>
      <c r="B56" s="23">
        <f>IF(B54&gt;=B55,"검토 대상","제외")</f>
        <v/>
      </c>
      <c r="C56" s="6" t="n"/>
    </row>
  </sheetData>
  <mergeCells count="38">
    <mergeCell ref="B16:C16"/>
    <mergeCell ref="E50:I50"/>
    <mergeCell ref="B54:C54"/>
    <mergeCell ref="B8:D8"/>
    <mergeCell ref="A19:I22"/>
    <mergeCell ref="E55:I55"/>
    <mergeCell ref="A18:I18"/>
    <mergeCell ref="A3:I3"/>
    <mergeCell ref="B56:C56"/>
    <mergeCell ref="E14:I14"/>
    <mergeCell ref="A12:I12"/>
    <mergeCell ref="B10:D10"/>
    <mergeCell ref="B52:C52"/>
    <mergeCell ref="E13:I13"/>
    <mergeCell ref="B14:C14"/>
    <mergeCell ref="F10:I10"/>
    <mergeCell ref="B6:D6"/>
    <mergeCell ref="B53:C53"/>
    <mergeCell ref="F6:I6"/>
    <mergeCell ref="B13:C13"/>
    <mergeCell ref="B5:D5"/>
    <mergeCell ref="E15:I15"/>
    <mergeCell ref="F7:I7"/>
    <mergeCell ref="F5:I5"/>
    <mergeCell ref="B7:D7"/>
    <mergeCell ref="A48:I48"/>
    <mergeCell ref="B49:C49"/>
    <mergeCell ref="A24:I24"/>
    <mergeCell ref="A46:G46"/>
    <mergeCell ref="B9:I9"/>
    <mergeCell ref="B55:C55"/>
    <mergeCell ref="B15:C15"/>
    <mergeCell ref="F8:I8"/>
    <mergeCell ref="E16:I16"/>
    <mergeCell ref="B51:C51"/>
    <mergeCell ref="A1:I1"/>
    <mergeCell ref="B50:C50"/>
    <mergeCell ref="B4:I4"/>
  </mergeCells>
  <conditionalFormatting sqref="B56:C56">
    <cfRule type="expression" priority="1" dxfId="0">
      <formula>$B$56="검토 대상"</formula>
    </cfRule>
    <cfRule type="expression" priority="2" dxfId="1">
      <formula>$B$56="제외"</formula>
    </cfRule>
  </conditionalFormatting>
  <dataValidations count="1">
    <dataValidation sqref="G26:G45" showDropDown="0" showInputMessage="0" showErrorMessage="0" allowBlank="1" errorTitle="선택 오류" error="O 또는 X만 입력하세요." type="list">
      <formula1>"O,X"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B1" s="24" t="inlineStr">
        <is>
          <t>Format 사용 규칙</t>
        </is>
      </c>
    </row>
    <row r="3">
      <c r="B3" t="inlineStr">
        <is>
          <t>1. 사용 순서</t>
        </is>
      </c>
    </row>
    <row r="4" ht="20" customHeight="1">
      <c r="B4" s="25" t="inlineStr">
        <is>
          <t>1. 사용 순서</t>
        </is>
      </c>
    </row>
    <row r="5">
      <c r="B5" s="26" t="inlineStr">
        <is>
          <t>① 이 파일을 복사해 분석/YYYYMMDD_공고번호_짧은공고명.xlsx 로 저장한다. (원본 Format.xlsx 수정 금지)</t>
        </is>
      </c>
    </row>
    <row r="6">
      <c r="B6" s="26" t="inlineStr">
        <is>
          <t>② '분석' 시트의 파란 글씨 셀만 입력한다. 검은 글씨는 자동 계산 셀이므로 수정하지 않는다.</t>
        </is>
      </c>
    </row>
    <row r="7">
      <c r="B7" s="26" t="inlineStr">
        <is>
          <t>③ 공고 정보·금액 정보: 나라장터(g2b.go.kr)/누리장터(nuri.g2b.go.kr) 공고 상세 화면에서 옮겨 적는다.</t>
        </is>
      </c>
    </row>
    <row r="8">
      <c r="B8" s="26" t="inlineStr">
        <is>
          <t>④ 개요: 첨부 규격서(HWP/PDF)에서 필요 물품·수량·핵심 사양·특이조건(설치, 납기, 인증, A/S, 원산지)을 요약한다.</t>
        </is>
      </c>
    </row>
    <row r="9">
      <c r="B9" s="26" t="inlineStr">
        <is>
          <t>⑤ 물품 내역: 물품마다 후보 판매처 1~3개를 행으로 추가하고, 실제 구매할 후보만 선택 열에 O를 표시한다.</t>
        </is>
      </c>
    </row>
    <row r="10">
      <c r="B10" s="26" t="inlineStr">
        <is>
          <t>⑥ 판정 확인: 마진율 ≥ 기준 마진율이면 '검토 대상'(초록), 미만이면 '제외'(빨강)로 자동 표시된다.</t>
        </is>
      </c>
    </row>
    <row r="11">
      <c r="B11" t="inlineStr">
        <is>
          <t>2. 입력 규칙</t>
        </is>
      </c>
    </row>
    <row r="12" ht="20" customHeight="1">
      <c r="B12" s="25" t="inlineStr">
        <is>
          <t>2. 입력 규칙</t>
        </is>
      </c>
    </row>
    <row r="13">
      <c r="B13" s="26" t="inlineStr">
        <is>
          <t>· 모든 가격은 원화, 부가세·배송비 포함 실구매가 기준.</t>
        </is>
      </c>
    </row>
    <row r="14">
      <c r="B14" s="26" t="inlineStr">
        <is>
          <t>· 가격에는 출처 URL 필수. URL 없는 가격은 인정하지 않는다.</t>
        </is>
      </c>
    </row>
    <row r="15">
      <c r="B15" s="26" t="inlineStr">
        <is>
          <t>· 물품별 선택(O)은 1개만. 선택금액 = 수량 × 단가 (자동).</t>
        </is>
      </c>
    </row>
    <row r="16">
      <c r="B16" s="26" t="inlineStr">
        <is>
          <t>· 이율(투찰율) 기본 0.96. 공고의 낙찰하한율·적격심사 기준 확인 후 조정한다.</t>
        </is>
      </c>
    </row>
    <row r="17">
      <c r="B17" s="26" t="inlineStr">
        <is>
          <t>· 기초금액 미공개 시 예산금액 또는 추정가격×1.1을 입력하고 비고에 표시한다.</t>
        </is>
      </c>
    </row>
    <row r="18">
      <c r="B18" s="26" t="inlineStr">
        <is>
          <t>· 해외 구매만 가능한 상품은 국내 배송 가능 여부를 비고에 기록한다.</t>
        </is>
      </c>
    </row>
    <row r="19">
      <c r="B19" s="26" t="inlineStr">
        <is>
          <t>· 재고 부족·납기 지연 리스크는 비고에 기록한다.</t>
        </is>
      </c>
    </row>
    <row r="20">
      <c r="B20" t="inlineStr">
        <is>
          <t>3. 색상 규칙</t>
        </is>
      </c>
    </row>
    <row r="21" ht="20" customHeight="1">
      <c r="B21" s="25" t="inlineStr">
        <is>
          <t>3. 색상 규칙</t>
        </is>
      </c>
    </row>
    <row r="22">
      <c r="B22" s="26" t="inlineStr">
        <is>
          <t>· 파란 글씨 = 직접 입력  /  검은 글씨 = 자동 계산(수정 금지)</t>
        </is>
      </c>
    </row>
    <row r="23">
      <c r="B23" s="26" t="inlineStr">
        <is>
          <t>· 노란 배경 = 가정값(이율, 기준 마진율). 공고마다 반드시 확인 후 조정.</t>
        </is>
      </c>
    </row>
    <row r="24">
      <c r="B24" s="26" t="inlineStr">
        <is>
          <t>· 판정 셀: 초록 = 검토 대상, 빨강 = 제외.</t>
        </is>
      </c>
    </row>
    <row r="25">
      <c r="B25" t="inlineStr">
        <is>
          <t>4. 판정 기준</t>
        </is>
      </c>
    </row>
    <row r="26" ht="20" customHeight="1">
      <c r="B26" s="25" t="inlineStr">
        <is>
          <t>4. 판정 기준</t>
        </is>
      </c>
    </row>
    <row r="27">
      <c r="B27" s="26" t="inlineStr">
        <is>
          <t>· 투찰가(예상) = 기초금액 × 이율</t>
        </is>
      </c>
    </row>
    <row r="28">
      <c r="B28" s="26" t="inlineStr">
        <is>
          <t>· 마진 = 투찰가 − (선택 상품 합 + 부대비용),  마진율 = 마진 ÷ 투찰가</t>
        </is>
      </c>
    </row>
    <row r="29">
      <c r="B29" s="26" t="inlineStr">
        <is>
          <t>· 기준 마진율 기본 10%.</t>
        </is>
      </c>
    </row>
    <row r="30">
      <c r="B30" s="26" t="inlineStr">
        <is>
          <t>· 마진율 외에 참가자격 충족, 납기 실현 가능성, 규격 100% 충족 여부까지 확인 후 최종 투찰을 결정한다.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2026-08-18T01:47:30Z</dcterms:created>
  <dcterms:modified xsi:type="dcterms:W3CDTF">2026-08-18T01:47:30Z</dcterms:modified>
</cp:coreProperties>
</file>